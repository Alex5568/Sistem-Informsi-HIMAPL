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ocuments\Himapl\Sistem-Informsi-HIMAPL\himaplapp-app\catatan\"/>
    </mc:Choice>
  </mc:AlternateContent>
  <xr:revisionPtr revIDLastSave="0" documentId="8_{551271E1-75D9-4D0D-81FB-EDB152FF095F}" xr6:coauthVersionLast="47" xr6:coauthVersionMax="47" xr10:uidLastSave="{00000000-0000-0000-0000-000000000000}"/>
  <bookViews>
    <workbookView xWindow="-120" yWindow="-120" windowWidth="29040" windowHeight="15720" xr2:uid="{6BEE0E82-C134-4ADB-B634-171C25ABE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9" i="1"/>
  <c r="M12" i="1"/>
  <c r="M15" i="1"/>
  <c r="M3" i="1"/>
  <c r="I6" i="1"/>
  <c r="J6" i="1" s="1"/>
  <c r="I7" i="1"/>
  <c r="J7" i="1" s="1"/>
  <c r="I3" i="1"/>
  <c r="J3" i="1" s="1"/>
  <c r="H4" i="1"/>
  <c r="I4" i="1" s="1"/>
  <c r="J4" i="1" s="1"/>
  <c r="H5" i="1"/>
  <c r="I5" i="1" s="1"/>
  <c r="J5" i="1" s="1"/>
  <c r="H6" i="1"/>
  <c r="H7" i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3" i="1"/>
</calcChain>
</file>

<file path=xl/sharedStrings.xml><?xml version="1.0" encoding="utf-8"?>
<sst xmlns="http://schemas.openxmlformats.org/spreadsheetml/2006/main" count="26" uniqueCount="26">
  <si>
    <t>ID</t>
  </si>
  <si>
    <t>STS(1)</t>
  </si>
  <si>
    <t>TS(2)</t>
  </si>
  <si>
    <t>N(3)</t>
  </si>
  <si>
    <t>S(4)</t>
  </si>
  <si>
    <t>SS(5)</t>
  </si>
  <si>
    <t>Jumlah</t>
  </si>
  <si>
    <t>QS-01</t>
  </si>
  <si>
    <t>QS-02</t>
  </si>
  <si>
    <t>QS-03</t>
  </si>
  <si>
    <t>QS-04</t>
  </si>
  <si>
    <t>QS-05</t>
  </si>
  <si>
    <t>QS-06</t>
  </si>
  <si>
    <t>QS-07</t>
  </si>
  <si>
    <t>QS-08</t>
  </si>
  <si>
    <t>QS-09</t>
  </si>
  <si>
    <t>QS-10</t>
  </si>
  <si>
    <t>QS-11</t>
  </si>
  <si>
    <t>QS-12</t>
  </si>
  <si>
    <t>QS-13</t>
  </si>
  <si>
    <t>QS-14</t>
  </si>
  <si>
    <t>QS-15</t>
  </si>
  <si>
    <t>rata rata</t>
  </si>
  <si>
    <t>presentase</t>
  </si>
  <si>
    <t>Nilai Presentase</t>
  </si>
  <si>
    <t>rata rata aspek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</si>
</sst>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5" xfId="0" applyFont="1" applyFill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justify" vertical="center" wrapText="1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69C-CA67-4AF8-A708-6AAB3509AA54}">
  <dimension ref="B1:M17"/>
  <sheetViews>
    <sheetView tabSelected="1" workbookViewId="0">
      <selection activeCell="B18" sqref="B18"/>
    </sheetView>
  </sheetViews>
  <sheetFormatPr defaultRowHeight="15" x14ac:dyDescent="0.25"/>
  <cols>
    <col min="10" max="10" width="11.5703125" customWidth="1"/>
    <col min="12" max="12" width="13.28515625" customWidth="1"/>
    <col min="13" max="13" width="16.7109375" customWidth="1"/>
  </cols>
  <sheetData>
    <row r="1" spans="2:13" ht="15.75" thickBot="1" x14ac:dyDescent="0.3"/>
    <row r="2" spans="2:13" ht="15" customHeight="1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6" t="s">
        <v>22</v>
      </c>
      <c r="J2" s="6" t="s">
        <v>23</v>
      </c>
      <c r="L2" s="5" t="s">
        <v>24</v>
      </c>
      <c r="M2" s="6" t="s">
        <v>25</v>
      </c>
    </row>
    <row r="3" spans="2:13" ht="16.5" thickBot="1" x14ac:dyDescent="0.3">
      <c r="B3" s="3" t="s">
        <v>7</v>
      </c>
      <c r="C3" s="4">
        <v>0</v>
      </c>
      <c r="D3" s="4">
        <v>0</v>
      </c>
      <c r="E3" s="4">
        <v>0</v>
      </c>
      <c r="F3" s="4">
        <v>5</v>
      </c>
      <c r="G3" s="4">
        <v>12</v>
      </c>
      <c r="H3" s="4">
        <f>(C3*1+D3*2+E3*3+F3*4+G3*5)</f>
        <v>80</v>
      </c>
      <c r="I3">
        <f>(H3/17)</f>
        <v>4.7058823529411766</v>
      </c>
      <c r="J3">
        <f>(I3/5*100)</f>
        <v>94.117647058823522</v>
      </c>
      <c r="L3" s="7">
        <v>0.94110000000000005</v>
      </c>
      <c r="M3" s="9">
        <f>AVERAGE(L3:L5)</f>
        <v>0.91760000000000008</v>
      </c>
    </row>
    <row r="4" spans="2:13" ht="16.5" thickBot="1" x14ac:dyDescent="0.3">
      <c r="B4" s="3" t="s">
        <v>8</v>
      </c>
      <c r="C4" s="4">
        <v>0</v>
      </c>
      <c r="D4" s="4">
        <v>0</v>
      </c>
      <c r="E4" s="4">
        <v>1</v>
      </c>
      <c r="F4" s="4">
        <v>5</v>
      </c>
      <c r="G4" s="4">
        <v>11</v>
      </c>
      <c r="H4" s="4">
        <f t="shared" ref="H4:H17" si="0">(C4*1+D4*2+E4*3+F4*4+G4*5)</f>
        <v>78</v>
      </c>
      <c r="I4">
        <f t="shared" ref="I4:I17" si="1">(H4/17)</f>
        <v>4.5882352941176467</v>
      </c>
      <c r="J4">
        <f t="shared" ref="J4:J17" si="2">(I4/5*100)</f>
        <v>91.764705882352942</v>
      </c>
      <c r="L4" s="7">
        <v>0.91759999999999997</v>
      </c>
      <c r="M4" s="8"/>
    </row>
    <row r="5" spans="2:13" ht="16.5" thickBot="1" x14ac:dyDescent="0.3">
      <c r="B5" s="3" t="s">
        <v>9</v>
      </c>
      <c r="C5" s="4">
        <v>0</v>
      </c>
      <c r="D5" s="4">
        <v>0</v>
      </c>
      <c r="E5" s="4">
        <v>1</v>
      </c>
      <c r="F5" s="4">
        <v>7</v>
      </c>
      <c r="G5" s="4">
        <v>9</v>
      </c>
      <c r="H5" s="4">
        <f t="shared" si="0"/>
        <v>76</v>
      </c>
      <c r="I5">
        <f t="shared" si="1"/>
        <v>4.4705882352941178</v>
      </c>
      <c r="J5">
        <f t="shared" si="2"/>
        <v>89.411764705882362</v>
      </c>
      <c r="L5" s="7">
        <v>0.89410000000000001</v>
      </c>
      <c r="M5" s="8"/>
    </row>
    <row r="6" spans="2:13" ht="16.5" thickBot="1" x14ac:dyDescent="0.3">
      <c r="B6" s="3" t="s">
        <v>10</v>
      </c>
      <c r="C6" s="4">
        <v>1</v>
      </c>
      <c r="D6" s="4">
        <v>1</v>
      </c>
      <c r="E6" s="4">
        <v>1</v>
      </c>
      <c r="F6" s="4">
        <v>7</v>
      </c>
      <c r="G6" s="4">
        <v>7</v>
      </c>
      <c r="H6" s="4">
        <f t="shared" si="0"/>
        <v>69</v>
      </c>
      <c r="I6">
        <f t="shared" si="1"/>
        <v>4.0588235294117645</v>
      </c>
      <c r="J6">
        <f t="shared" si="2"/>
        <v>81.17647058823529</v>
      </c>
      <c r="L6" s="7">
        <v>0.81169999999999998</v>
      </c>
      <c r="M6" s="9">
        <f t="shared" ref="M6" si="3">AVERAGE(L6:L8)</f>
        <v>0.82346666666666657</v>
      </c>
    </row>
    <row r="7" spans="2:13" ht="16.5" thickBot="1" x14ac:dyDescent="0.3">
      <c r="B7" s="3" t="s">
        <v>11</v>
      </c>
      <c r="C7" s="4">
        <v>0</v>
      </c>
      <c r="D7" s="4">
        <v>1</v>
      </c>
      <c r="E7" s="4">
        <v>3</v>
      </c>
      <c r="F7" s="4">
        <v>7</v>
      </c>
      <c r="G7" s="4">
        <v>6</v>
      </c>
      <c r="H7" s="4">
        <f t="shared" si="0"/>
        <v>69</v>
      </c>
      <c r="I7">
        <f t="shared" si="1"/>
        <v>4.0588235294117645</v>
      </c>
      <c r="J7">
        <f t="shared" si="2"/>
        <v>81.17647058823529</v>
      </c>
      <c r="L7" s="7">
        <v>0.81169999999999998</v>
      </c>
      <c r="M7" s="8"/>
    </row>
    <row r="8" spans="2:13" ht="16.5" thickBot="1" x14ac:dyDescent="0.3">
      <c r="B8" s="3" t="s">
        <v>12</v>
      </c>
      <c r="C8" s="4">
        <v>0</v>
      </c>
      <c r="D8" s="4">
        <v>0</v>
      </c>
      <c r="E8" s="4">
        <v>3</v>
      </c>
      <c r="F8" s="4">
        <v>7</v>
      </c>
      <c r="G8" s="4">
        <v>7</v>
      </c>
      <c r="H8" s="4">
        <f t="shared" si="0"/>
        <v>72</v>
      </c>
      <c r="I8">
        <f t="shared" si="1"/>
        <v>4.2352941176470589</v>
      </c>
      <c r="J8">
        <f t="shared" si="2"/>
        <v>84.705882352941174</v>
      </c>
      <c r="L8" s="7">
        <v>0.84699999999999998</v>
      </c>
      <c r="M8" s="8"/>
    </row>
    <row r="9" spans="2:13" ht="16.5" thickBot="1" x14ac:dyDescent="0.3">
      <c r="B9" s="3" t="s">
        <v>13</v>
      </c>
      <c r="C9" s="4">
        <v>0</v>
      </c>
      <c r="D9" s="4">
        <v>0</v>
      </c>
      <c r="E9" s="4">
        <v>2</v>
      </c>
      <c r="F9" s="4">
        <v>5</v>
      </c>
      <c r="G9" s="4">
        <v>10</v>
      </c>
      <c r="H9" s="4">
        <f t="shared" si="0"/>
        <v>76</v>
      </c>
      <c r="I9">
        <f t="shared" si="1"/>
        <v>4.4705882352941178</v>
      </c>
      <c r="J9">
        <f t="shared" si="2"/>
        <v>89.411764705882362</v>
      </c>
      <c r="L9" s="7">
        <v>0.89410000000000001</v>
      </c>
      <c r="M9" s="9">
        <f t="shared" ref="M9" si="4">AVERAGE(L9:L11)</f>
        <v>0.87053333333333338</v>
      </c>
    </row>
    <row r="10" spans="2:13" ht="16.5" thickBot="1" x14ac:dyDescent="0.3">
      <c r="B10" s="3" t="s">
        <v>14</v>
      </c>
      <c r="C10" s="4">
        <v>0</v>
      </c>
      <c r="D10" s="4">
        <v>1</v>
      </c>
      <c r="E10" s="4">
        <v>1</v>
      </c>
      <c r="F10" s="4">
        <v>6</v>
      </c>
      <c r="G10" s="4">
        <v>9</v>
      </c>
      <c r="H10" s="4">
        <f t="shared" si="0"/>
        <v>74</v>
      </c>
      <c r="I10">
        <f t="shared" si="1"/>
        <v>4.3529411764705879</v>
      </c>
      <c r="J10">
        <f t="shared" si="2"/>
        <v>87.058823529411754</v>
      </c>
      <c r="L10" s="7">
        <v>0.87050000000000005</v>
      </c>
      <c r="M10" s="8"/>
    </row>
    <row r="11" spans="2:13" ht="16.5" thickBot="1" x14ac:dyDescent="0.3">
      <c r="B11" s="3" t="s">
        <v>15</v>
      </c>
      <c r="C11" s="4">
        <v>0</v>
      </c>
      <c r="D11" s="4">
        <v>0</v>
      </c>
      <c r="E11" s="4">
        <v>3</v>
      </c>
      <c r="F11" s="4">
        <v>7</v>
      </c>
      <c r="G11" s="4">
        <v>7</v>
      </c>
      <c r="H11" s="4">
        <f t="shared" si="0"/>
        <v>72</v>
      </c>
      <c r="I11">
        <f t="shared" si="1"/>
        <v>4.2352941176470589</v>
      </c>
      <c r="J11">
        <f t="shared" si="2"/>
        <v>84.705882352941174</v>
      </c>
      <c r="L11" s="7">
        <v>0.84699999999999998</v>
      </c>
      <c r="M11" s="8"/>
    </row>
    <row r="12" spans="2:13" ht="16.5" thickBot="1" x14ac:dyDescent="0.3">
      <c r="B12" s="3" t="s">
        <v>16</v>
      </c>
      <c r="C12" s="4">
        <v>0</v>
      </c>
      <c r="D12" s="4">
        <v>1</v>
      </c>
      <c r="E12" s="4">
        <v>3</v>
      </c>
      <c r="F12" s="4">
        <v>4</v>
      </c>
      <c r="G12" s="4">
        <v>9</v>
      </c>
      <c r="H12" s="4">
        <f t="shared" si="0"/>
        <v>72</v>
      </c>
      <c r="I12">
        <f t="shared" si="1"/>
        <v>4.2352941176470589</v>
      </c>
      <c r="J12">
        <f t="shared" si="2"/>
        <v>84.705882352941174</v>
      </c>
      <c r="L12" s="7">
        <v>0.84699999999999998</v>
      </c>
      <c r="M12" s="9">
        <f t="shared" ref="M12" si="5">AVERAGE(L12:L14)</f>
        <v>0.87053333333333327</v>
      </c>
    </row>
    <row r="13" spans="2:13" ht="16.5" thickBot="1" x14ac:dyDescent="0.3">
      <c r="B13" s="3" t="s">
        <v>17</v>
      </c>
      <c r="C13" s="4">
        <v>0</v>
      </c>
      <c r="D13" s="4">
        <v>0</v>
      </c>
      <c r="E13" s="4">
        <v>2</v>
      </c>
      <c r="F13" s="4">
        <v>6</v>
      </c>
      <c r="G13" s="4">
        <v>9</v>
      </c>
      <c r="H13" s="4">
        <f t="shared" si="0"/>
        <v>75</v>
      </c>
      <c r="I13">
        <f t="shared" si="1"/>
        <v>4.4117647058823533</v>
      </c>
      <c r="J13">
        <f t="shared" si="2"/>
        <v>88.235294117647072</v>
      </c>
      <c r="L13" s="7">
        <v>0.88229999999999997</v>
      </c>
      <c r="M13" s="8"/>
    </row>
    <row r="14" spans="2:13" ht="16.5" thickBot="1" x14ac:dyDescent="0.3">
      <c r="B14" s="3" t="s">
        <v>18</v>
      </c>
      <c r="C14" s="4">
        <v>0</v>
      </c>
      <c r="D14" s="4">
        <v>0</v>
      </c>
      <c r="E14" s="4">
        <v>3</v>
      </c>
      <c r="F14" s="4">
        <v>4</v>
      </c>
      <c r="G14" s="4">
        <v>10</v>
      </c>
      <c r="H14" s="4">
        <f t="shared" si="0"/>
        <v>75</v>
      </c>
      <c r="I14">
        <f t="shared" si="1"/>
        <v>4.4117647058823533</v>
      </c>
      <c r="J14">
        <f t="shared" si="2"/>
        <v>88.235294117647072</v>
      </c>
      <c r="L14" s="7">
        <v>0.88229999999999997</v>
      </c>
      <c r="M14" s="8"/>
    </row>
    <row r="15" spans="2:13" ht="16.5" thickBot="1" x14ac:dyDescent="0.3">
      <c r="B15" s="3" t="s">
        <v>19</v>
      </c>
      <c r="C15" s="4">
        <v>1</v>
      </c>
      <c r="D15" s="4">
        <v>0</v>
      </c>
      <c r="E15" s="4">
        <v>0</v>
      </c>
      <c r="F15" s="4">
        <v>6</v>
      </c>
      <c r="G15" s="4">
        <v>10</v>
      </c>
      <c r="H15" s="4">
        <f t="shared" si="0"/>
        <v>75</v>
      </c>
      <c r="I15">
        <f t="shared" si="1"/>
        <v>4.4117647058823533</v>
      </c>
      <c r="J15">
        <f t="shared" si="2"/>
        <v>88.235294117647072</v>
      </c>
      <c r="L15" s="7">
        <v>0.88229999999999997</v>
      </c>
      <c r="M15" s="9">
        <f t="shared" ref="M15" si="6">AVERAGE(L15:L17)</f>
        <v>0.90976666666666672</v>
      </c>
    </row>
    <row r="16" spans="2:13" ht="16.5" thickBot="1" x14ac:dyDescent="0.3">
      <c r="B16" s="3" t="s">
        <v>20</v>
      </c>
      <c r="C16" s="4">
        <v>0</v>
      </c>
      <c r="D16" s="4">
        <v>0</v>
      </c>
      <c r="E16" s="4">
        <v>0</v>
      </c>
      <c r="F16" s="4">
        <v>6</v>
      </c>
      <c r="G16" s="4">
        <v>11</v>
      </c>
      <c r="H16" s="4">
        <f t="shared" si="0"/>
        <v>79</v>
      </c>
      <c r="I16">
        <f t="shared" si="1"/>
        <v>4.6470588235294121</v>
      </c>
      <c r="J16">
        <f t="shared" si="2"/>
        <v>92.941176470588232</v>
      </c>
      <c r="L16" s="7">
        <v>0.9294</v>
      </c>
      <c r="M16" s="8"/>
    </row>
    <row r="17" spans="2:13" ht="16.5" thickBot="1" x14ac:dyDescent="0.3">
      <c r="B17" s="3" t="s">
        <v>21</v>
      </c>
      <c r="C17" s="4">
        <v>0</v>
      </c>
      <c r="D17" s="4">
        <v>0</v>
      </c>
      <c r="E17" s="4">
        <v>0</v>
      </c>
      <c r="F17" s="4">
        <v>7</v>
      </c>
      <c r="G17" s="4">
        <v>10</v>
      </c>
      <c r="H17" s="4">
        <f t="shared" si="0"/>
        <v>78</v>
      </c>
      <c r="I17">
        <f t="shared" si="1"/>
        <v>4.5882352941176467</v>
      </c>
      <c r="J17">
        <f t="shared" si="2"/>
        <v>91.764705882352942</v>
      </c>
      <c r="L17" s="7">
        <v>0.91759999999999997</v>
      </c>
      <c r="M17" s="8"/>
    </row>
  </sheetData>
  <mergeCells count="5">
    <mergeCell ref="M3:M5"/>
    <mergeCell ref="M6:M8"/>
    <mergeCell ref="M9:M11"/>
    <mergeCell ref="M12:M14"/>
    <mergeCell ref="M15:M1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2026-07-15T07:29:33Z</dcterms:created>
  <dcterms:modified xsi:type="dcterms:W3CDTF">2026-07-15T11:06:58Z</dcterms:modified>
</cp:coreProperties>
</file>